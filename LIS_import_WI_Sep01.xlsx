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AX\Project_Support\Import_LIS\Sep01\"/>
    </mc:Choice>
  </mc:AlternateContent>
  <bookViews>
    <workbookView xWindow="0" yWindow="0" windowWidth="23040" windowHeight="9780"/>
  </bookViews>
  <sheets>
    <sheet name="Internal_Detailed_Estimate_Plan" sheetId="6" r:id="rId1"/>
  </sheets>
  <definedNames>
    <definedName name="_xlnm._FilterDatabase" localSheetId="0" hidden="1">Internal_Detailed_Estimate_Plan!$A$1:$I$52</definedName>
  </definedNames>
  <calcPr calcId="152511"/>
</workbook>
</file>

<file path=xl/calcChain.xml><?xml version="1.0" encoding="utf-8"?>
<calcChain xmlns="http://schemas.openxmlformats.org/spreadsheetml/2006/main">
  <c r="I9" i="6" l="1"/>
</calcChain>
</file>

<file path=xl/sharedStrings.xml><?xml version="1.0" encoding="utf-8"?>
<sst xmlns="http://schemas.openxmlformats.org/spreadsheetml/2006/main" count="188" uniqueCount="67">
  <si>
    <t>No</t>
  </si>
  <si>
    <t>WI Name</t>
  </si>
  <si>
    <t>Level 1</t>
  </si>
  <si>
    <t>Level 2</t>
  </si>
  <si>
    <t>Level 3</t>
  </si>
  <si>
    <t>Level 4</t>
  </si>
  <si>
    <t>Level 5</t>
  </si>
  <si>
    <t>Assignee</t>
  </si>
  <si>
    <t>Estimate (hours)</t>
  </si>
  <si>
    <t>Build</t>
  </si>
  <si>
    <t>Process</t>
  </si>
  <si>
    <t>WI</t>
  </si>
  <si>
    <t>Requirement Analysis and Document (Hours)</t>
  </si>
  <si>
    <t>Implementation (Hours)</t>
  </si>
  <si>
    <t>Testing (Hours for n Rounds)</t>
  </si>
  <si>
    <t>Implement Business Logic</t>
  </si>
  <si>
    <t>TienLT</t>
  </si>
  <si>
    <t>Implement GUI</t>
  </si>
  <si>
    <t>LoanPNT</t>
  </si>
  <si>
    <t>Design</t>
  </si>
  <si>
    <t>TrungBN</t>
  </si>
  <si>
    <t>Unit Test BE</t>
  </si>
  <si>
    <t>Unit Test FE</t>
  </si>
  <si>
    <t>Update Test Case</t>
  </si>
  <si>
    <t>Execute Test and Regresstion Test</t>
  </si>
  <si>
    <t xml:space="preserve">Summary Report </t>
  </si>
  <si>
    <t>Review Test Case</t>
  </si>
  <si>
    <t>SonNT</t>
  </si>
  <si>
    <t>SuNT</t>
  </si>
  <si>
    <t>222628	As a Content Manager, I want the system to automatically remap and sync IM information whenever it is updated in MSS, so that the item data is always up to date for accurate comparison and exception tracking.</t>
  </si>
  <si>
    <t> </t>
  </si>
  <si>
    <t>ENH_222628_Update Documents</t>
  </si>
  <si>
    <t>ENH_222628_Create UAT</t>
  </si>
  <si>
    <t>ENH_222628_Verify Requirements</t>
  </si>
  <si>
    <t>ENH_222628_Review Code/Design</t>
  </si>
  <si>
    <t>ENH_222628_How to</t>
  </si>
  <si>
    <t>ENH_222628_Load file design</t>
  </si>
  <si>
    <t>ENH_222628_Add check point for remap item</t>
  </si>
  <si>
    <t>ENH_222628_Enhance process evaluator to recalc item for both new and old po_lines</t>
  </si>
  <si>
    <t>ENH_222628_Enhance process evaluator to recalc contract for both new and old po_lines</t>
  </si>
  <si>
    <t>ENH_222628_Enhance convert service to revert to orignal value when matched item is removed</t>
  </si>
  <si>
    <t>ENH_222628_Benmark perf</t>
  </si>
  <si>
    <t>ENH_222628_Add history when item/contract rematch/remove</t>
  </si>
  <si>
    <t>ENH_222628_Enhance resolve api to check item out of date</t>
  </si>
  <si>
    <t xml:space="preserve">ENH_222628_Enhance resolution api to check item out of date </t>
  </si>
  <si>
    <t xml:space="preserve">ENH_222628_Expose exception evaluator for api using </t>
  </si>
  <si>
    <t>ENH_222628_PODetailPage - Enhance param useCase - Resolves</t>
  </si>
  <si>
    <t>ENH_222628_PODetailPage - Enhance param useCase - SetUOM</t>
  </si>
  <si>
    <t>ENH_222628_PODetailPage - useCases - handleCallback Resolves + setUOM</t>
  </si>
  <si>
    <t>ENH_222628_PODetailPage - Validation</t>
  </si>
  <si>
    <t>ENH_222628_Unit test</t>
  </si>
  <si>
    <t>ENH_222628_Manual test</t>
  </si>
  <si>
    <t>ENH_222628_PODetailPage - Unit test</t>
  </si>
  <si>
    <t>Study Requirement(QC)</t>
  </si>
  <si>
    <t xml:space="preserve">ENH_222628_Study Requirement </t>
  </si>
  <si>
    <t>ENH_222628_Logic to trigger the re-mapping Item Master</t>
  </si>
  <si>
    <t>ENH_222628_Track Information Changes in Item Master</t>
  </si>
  <si>
    <t>ENH_222628_Logic to trigger the re-mapping Item CTR</t>
  </si>
  <si>
    <t>ENH_222628_Track Information Changes in CTR</t>
  </si>
  <si>
    <t>ENH_222628_Logic to trigger the re-mapping Item IM</t>
  </si>
  <si>
    <t>ENH_222628_Smoke test ITM/CTR</t>
  </si>
  <si>
    <t>Test Summary Report Sep 01</t>
  </si>
  <si>
    <t>Performance</t>
  </si>
  <si>
    <t>ENH_222628_Performance test for mapping ITM/CTR</t>
  </si>
  <si>
    <t>Self- Review test cases</t>
  </si>
  <si>
    <t>Review test cases</t>
  </si>
  <si>
    <t>ThoaHTK</t>
  </si>
</sst>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0"/>
      <color rgb="FF000000"/>
      <name val="Arial"/>
    </font>
    <font>
      <b/>
      <sz val="10"/>
      <color rgb="FFFFFFFF"/>
      <name val="Arial"/>
    </font>
    <font>
      <sz val="10"/>
      <color rgb="FFFFFFFF"/>
      <name val="Arial"/>
    </font>
    <font>
      <b/>
      <sz val="11"/>
      <color rgb="FF000000"/>
      <name val="Arial"/>
    </font>
    <font>
      <sz val="11"/>
      <color rgb="FF000000"/>
      <name val="Calibri"/>
    </font>
    <font>
      <sz val="11"/>
      <color rgb="FF000000"/>
      <name val="Arial"/>
    </font>
    <font>
      <b/>
      <sz val="11"/>
      <color rgb="FF000000"/>
      <name val="Arial"/>
      <family val="2"/>
    </font>
    <font>
      <sz val="11"/>
      <color rgb="FF000000"/>
      <name val="Arial"/>
      <charset val="1"/>
    </font>
    <font>
      <sz val="10"/>
      <color rgb="FF000000"/>
      <name val="Arial"/>
    </font>
    <font>
      <b/>
      <sz val="11"/>
      <color theme="1"/>
      <name val="Arial"/>
    </font>
    <font>
      <b/>
      <sz val="11"/>
      <color theme="1"/>
      <name val="Roboto"/>
    </font>
    <font>
      <sz val="11"/>
      <color theme="1"/>
      <name val="Calibri"/>
    </font>
    <font>
      <sz val="11"/>
      <color theme="1"/>
      <name val="Arial"/>
    </font>
  </fonts>
  <fills count="11">
    <fill>
      <patternFill patternType="none"/>
    </fill>
    <fill>
      <patternFill patternType="gray125"/>
    </fill>
    <fill>
      <patternFill patternType="solid">
        <fgColor rgb="FF3C78D8"/>
        <bgColor rgb="FF3C78D8"/>
      </patternFill>
    </fill>
    <fill>
      <patternFill patternType="solid">
        <fgColor rgb="FFFFFFFF"/>
        <bgColor rgb="FFFFFFFF"/>
      </patternFill>
    </fill>
    <fill>
      <patternFill patternType="solid">
        <fgColor rgb="FF99CCFF"/>
        <bgColor rgb="FF99CCFF"/>
      </patternFill>
    </fill>
    <fill>
      <patternFill patternType="solid">
        <fgColor rgb="FFC9DAF8"/>
        <bgColor rgb="FFC9DAF8"/>
      </patternFill>
    </fill>
    <fill>
      <patternFill patternType="solid">
        <fgColor rgb="FFFFFFFF"/>
        <bgColor rgb="FF000000"/>
      </patternFill>
    </fill>
    <fill>
      <patternFill patternType="solid">
        <fgColor rgb="FFD9D9D9"/>
        <bgColor rgb="FFD9D9D9"/>
      </patternFill>
    </fill>
    <fill>
      <patternFill patternType="solid">
        <fgColor rgb="FF99CCFF"/>
        <bgColor indexed="64"/>
      </patternFill>
    </fill>
    <fill>
      <patternFill patternType="solid">
        <fgColor theme="0"/>
        <bgColor theme="0"/>
      </patternFill>
    </fill>
    <fill>
      <patternFill patternType="solid">
        <fgColor theme="0"/>
        <bgColor indexed="64"/>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dotted">
        <color rgb="FFB7B7B7"/>
      </left>
      <right style="dotted">
        <color rgb="FFB7B7B7"/>
      </right>
      <top style="dotted">
        <color rgb="FFB7B7B7"/>
      </top>
      <bottom style="dotted">
        <color rgb="FFB7B7B7"/>
      </bottom>
      <diagonal/>
    </border>
    <border>
      <left/>
      <right style="dotted">
        <color rgb="FFB7B7B7"/>
      </right>
      <top style="dotted">
        <color rgb="FFB7B7B7"/>
      </top>
      <bottom style="dotted">
        <color rgb="FFB7B7B7"/>
      </bottom>
      <diagonal/>
    </border>
    <border>
      <left style="dotted">
        <color rgb="FFB7B7B7"/>
      </left>
      <right/>
      <top style="dotted">
        <color rgb="FFB7B7B7"/>
      </top>
      <bottom style="dotted">
        <color rgb="FFB7B7B7"/>
      </bottom>
      <diagonal/>
    </border>
    <border>
      <left style="dotted">
        <color rgb="FFB7B7B7"/>
      </left>
      <right style="dotted">
        <color rgb="FFB7B7B7"/>
      </right>
      <top/>
      <bottom style="dotted">
        <color rgb="FFB7B7B7"/>
      </bottom>
      <diagonal/>
    </border>
    <border>
      <left/>
      <right style="dotted">
        <color rgb="FFB7B7B7"/>
      </right>
      <top/>
      <bottom style="dotted">
        <color rgb="FFB7B7B7"/>
      </bottom>
      <diagonal/>
    </border>
    <border>
      <left style="dotted">
        <color rgb="FFB7B7B7"/>
      </left>
      <right/>
      <top/>
      <bottom style="dotted">
        <color rgb="FFB7B7B7"/>
      </bottom>
      <diagonal/>
    </border>
    <border>
      <left style="dotted">
        <color rgb="FF6AA84F"/>
      </left>
      <right/>
      <top style="dotted">
        <color rgb="FF6AA84F"/>
      </top>
      <bottom style="dotted">
        <color rgb="FF6AA84F"/>
      </bottom>
      <diagonal/>
    </border>
  </borders>
  <cellStyleXfs count="1">
    <xf numFmtId="0" fontId="0" fillId="0" borderId="0"/>
  </cellStyleXfs>
  <cellXfs count="65">
    <xf numFmtId="0" fontId="0" fillId="0" borderId="0" xfId="0" applyFont="1" applyAlignment="1"/>
    <xf numFmtId="0" fontId="2" fillId="2" borderId="0" xfId="0" applyFont="1" applyFill="1" applyAlignment="1">
      <alignment horizontal="left" vertical="top"/>
    </xf>
    <xf numFmtId="0" fontId="1" fillId="2" borderId="0" xfId="0" applyFont="1" applyFill="1" applyBorder="1" applyAlignment="1">
      <alignment horizontal="left" vertical="top" wrapText="1"/>
    </xf>
    <xf numFmtId="0" fontId="0" fillId="0" borderId="0" xfId="0" applyFont="1" applyBorder="1" applyAlignment="1"/>
    <xf numFmtId="0" fontId="1" fillId="2" borderId="1" xfId="0" applyFont="1" applyFill="1" applyBorder="1" applyAlignment="1">
      <alignment horizontal="left" vertical="top"/>
    </xf>
    <xf numFmtId="0" fontId="1" fillId="2" borderId="2" xfId="0" applyFont="1" applyFill="1" applyBorder="1" applyAlignment="1">
      <alignment horizontal="left" vertical="top"/>
    </xf>
    <xf numFmtId="0" fontId="1" fillId="2" borderId="3" xfId="0" applyFont="1" applyFill="1" applyBorder="1" applyAlignment="1">
      <alignment horizontal="left" vertical="top" wrapText="1"/>
    </xf>
    <xf numFmtId="0" fontId="1" fillId="2" borderId="1" xfId="0" applyFont="1" applyFill="1" applyBorder="1" applyAlignment="1">
      <alignment horizontal="left" vertical="top" wrapText="1"/>
    </xf>
    <xf numFmtId="0" fontId="3" fillId="4" borderId="5" xfId="0" applyFont="1" applyFill="1" applyBorder="1" applyAlignment="1">
      <alignment vertical="top"/>
    </xf>
    <xf numFmtId="0" fontId="3" fillId="5" borderId="4" xfId="0" applyFont="1" applyFill="1" applyBorder="1" applyAlignment="1">
      <alignment horizontal="left" vertical="top"/>
    </xf>
    <xf numFmtId="0" fontId="5" fillId="5" borderId="5" xfId="0" applyFont="1" applyFill="1" applyBorder="1" applyAlignment="1"/>
    <xf numFmtId="0" fontId="5" fillId="3" borderId="8" xfId="0" applyFont="1" applyFill="1" applyBorder="1" applyAlignment="1"/>
    <xf numFmtId="0" fontId="5" fillId="3" borderId="4" xfId="0" applyFont="1" applyFill="1" applyBorder="1" applyAlignment="1">
      <alignment vertical="top"/>
    </xf>
    <xf numFmtId="0" fontId="5" fillId="5" borderId="8" xfId="0" applyFont="1" applyFill="1" applyBorder="1" applyAlignment="1"/>
    <xf numFmtId="0" fontId="3" fillId="7" borderId="8" xfId="0" applyFont="1" applyFill="1" applyBorder="1" applyAlignment="1"/>
    <xf numFmtId="0" fontId="5" fillId="7" borderId="8" xfId="0" applyFont="1" applyFill="1" applyBorder="1" applyAlignment="1"/>
    <xf numFmtId="0" fontId="4" fillId="7" borderId="8" xfId="0" applyFont="1" applyFill="1" applyBorder="1" applyAlignment="1"/>
    <xf numFmtId="0" fontId="7" fillId="0" borderId="0" xfId="0" applyFont="1" applyAlignment="1"/>
    <xf numFmtId="0" fontId="5" fillId="3" borderId="8" xfId="0" applyFont="1" applyFill="1" applyBorder="1" applyAlignment="1">
      <alignment wrapText="1"/>
    </xf>
    <xf numFmtId="0" fontId="5" fillId="0" borderId="4" xfId="0" applyFont="1" applyBorder="1" applyAlignment="1">
      <alignment horizontal="left" vertical="top"/>
    </xf>
    <xf numFmtId="0" fontId="5" fillId="0" borderId="7" xfId="0" applyFont="1" applyBorder="1" applyAlignment="1">
      <alignment horizontal="left" vertical="top"/>
    </xf>
    <xf numFmtId="0" fontId="5" fillId="0" borderId="8" xfId="0" applyFont="1" applyBorder="1" applyAlignment="1">
      <alignment horizontal="left" vertical="top"/>
    </xf>
    <xf numFmtId="0" fontId="5" fillId="3" borderId="8" xfId="0" applyFont="1" applyFill="1" applyBorder="1" applyAlignment="1">
      <alignment vertical="top"/>
    </xf>
    <xf numFmtId="0" fontId="9" fillId="4" borderId="5" xfId="0" applyFont="1" applyFill="1" applyBorder="1" applyAlignment="1">
      <alignment vertical="top"/>
    </xf>
    <xf numFmtId="0" fontId="9" fillId="4" borderId="4" xfId="0" applyFont="1" applyFill="1" applyBorder="1" applyAlignment="1">
      <alignment vertical="top"/>
    </xf>
    <xf numFmtId="0" fontId="10" fillId="8" borderId="10" xfId="0" applyFont="1" applyFill="1" applyBorder="1" applyAlignment="1">
      <alignment vertical="top"/>
    </xf>
    <xf numFmtId="0" fontId="11" fillId="4" borderId="5" xfId="0" applyFont="1" applyFill="1" applyBorder="1"/>
    <xf numFmtId="2" fontId="11" fillId="4" borderId="5" xfId="0" applyNumberFormat="1" applyFont="1" applyFill="1" applyBorder="1"/>
    <xf numFmtId="2" fontId="12" fillId="5" borderId="4" xfId="0" applyNumberFormat="1" applyFont="1" applyFill="1" applyBorder="1" applyAlignment="1">
      <alignment vertical="top"/>
    </xf>
    <xf numFmtId="0" fontId="6" fillId="5" borderId="6" xfId="0" applyFont="1" applyFill="1" applyBorder="1"/>
    <xf numFmtId="0" fontId="5" fillId="5" borderId="4" xfId="0" applyFont="1" applyFill="1" applyBorder="1"/>
    <xf numFmtId="0" fontId="5" fillId="5" borderId="5" xfId="0" applyFont="1" applyFill="1" applyBorder="1"/>
    <xf numFmtId="0" fontId="3" fillId="9" borderId="4" xfId="0" applyFont="1" applyFill="1" applyBorder="1" applyAlignment="1">
      <alignment horizontal="left" vertical="top"/>
    </xf>
    <xf numFmtId="2" fontId="3" fillId="9" borderId="4" xfId="0" applyNumberFormat="1" applyFont="1" applyFill="1" applyBorder="1" applyAlignment="1">
      <alignment vertical="top"/>
    </xf>
    <xf numFmtId="0" fontId="3" fillId="3" borderId="7" xfId="0" applyFont="1" applyFill="1" applyBorder="1"/>
    <xf numFmtId="0" fontId="5" fillId="3" borderId="8" xfId="0" applyFont="1" applyFill="1" applyBorder="1"/>
    <xf numFmtId="2" fontId="5" fillId="9" borderId="4" xfId="0" applyNumberFormat="1" applyFont="1" applyFill="1" applyBorder="1" applyAlignment="1">
      <alignment vertical="top"/>
    </xf>
    <xf numFmtId="2" fontId="12" fillId="9" borderId="4" xfId="0" applyNumberFormat="1" applyFont="1" applyFill="1" applyBorder="1" applyAlignment="1">
      <alignment vertical="top"/>
    </xf>
    <xf numFmtId="2" fontId="5" fillId="9" borderId="4" xfId="0" applyNumberFormat="1" applyFont="1" applyFill="1" applyBorder="1" applyAlignment="1">
      <alignment horizontal="left" vertical="top"/>
    </xf>
    <xf numFmtId="2" fontId="12" fillId="10" borderId="4" xfId="0" applyNumberFormat="1" applyFont="1" applyFill="1" applyBorder="1" applyAlignment="1">
      <alignment vertical="center"/>
    </xf>
    <xf numFmtId="0" fontId="5" fillId="3" borderId="7" xfId="0" applyFont="1" applyFill="1" applyBorder="1"/>
    <xf numFmtId="0" fontId="3" fillId="3" borderId="9" xfId="0" applyFont="1" applyFill="1" applyBorder="1"/>
    <xf numFmtId="0" fontId="6" fillId="5" borderId="9" xfId="0" applyFont="1" applyFill="1" applyBorder="1"/>
    <xf numFmtId="0" fontId="5" fillId="5" borderId="7" xfId="0" applyFont="1" applyFill="1" applyBorder="1"/>
    <xf numFmtId="0" fontId="5" fillId="5" borderId="8" xfId="0" applyFont="1" applyFill="1" applyBorder="1"/>
    <xf numFmtId="0" fontId="12" fillId="9" borderId="4" xfId="0" applyFont="1" applyFill="1" applyBorder="1" applyAlignment="1">
      <alignment horizontal="left" vertical="top"/>
    </xf>
    <xf numFmtId="0" fontId="3" fillId="7" borderId="8" xfId="0" applyFont="1" applyFill="1" applyBorder="1"/>
    <xf numFmtId="0" fontId="5" fillId="7" borderId="8" xfId="0" applyFont="1" applyFill="1" applyBorder="1"/>
    <xf numFmtId="0" fontId="0" fillId="10" borderId="0" xfId="0" applyFill="1"/>
    <xf numFmtId="0" fontId="5" fillId="10" borderId="4" xfId="0" applyFont="1" applyFill="1" applyBorder="1" applyAlignment="1">
      <alignment horizontal="left" vertical="center"/>
    </xf>
    <xf numFmtId="0" fontId="5" fillId="10" borderId="4" xfId="0" applyFont="1" applyFill="1" applyBorder="1" applyAlignment="1">
      <alignment horizontal="right" vertical="center"/>
    </xf>
    <xf numFmtId="0" fontId="5" fillId="6" borderId="8" xfId="0" applyFont="1" applyFill="1" applyBorder="1"/>
    <xf numFmtId="2" fontId="3" fillId="9" borderId="0" xfId="0" applyNumberFormat="1" applyFont="1" applyFill="1" applyAlignment="1">
      <alignment vertical="top"/>
    </xf>
    <xf numFmtId="0" fontId="3" fillId="7" borderId="5" xfId="0" applyFont="1" applyFill="1" applyBorder="1"/>
    <xf numFmtId="0" fontId="4" fillId="7" borderId="8" xfId="0" applyFont="1" applyFill="1" applyBorder="1"/>
    <xf numFmtId="0" fontId="8" fillId="0" borderId="0" xfId="0" applyFont="1" applyBorder="1"/>
    <xf numFmtId="0" fontId="8" fillId="0" borderId="0" xfId="0" applyFont="1"/>
    <xf numFmtId="0" fontId="5" fillId="3" borderId="5" xfId="0" applyFont="1" applyFill="1" applyBorder="1"/>
    <xf numFmtId="0" fontId="5" fillId="3" borderId="9" xfId="0" applyFont="1" applyFill="1" applyBorder="1"/>
    <xf numFmtId="0" fontId="5" fillId="0" borderId="7" xfId="0" applyFont="1" applyBorder="1"/>
    <xf numFmtId="0" fontId="3" fillId="5" borderId="9" xfId="0" applyFont="1" applyFill="1" applyBorder="1"/>
    <xf numFmtId="0" fontId="5" fillId="0" borderId="8" xfId="0" applyFont="1" applyBorder="1"/>
    <xf numFmtId="0" fontId="5" fillId="3" borderId="8" xfId="0" applyFont="1" applyFill="1" applyBorder="1" applyAlignment="1">
      <alignment vertical="top" wrapText="1"/>
    </xf>
    <xf numFmtId="0" fontId="5" fillId="0" borderId="8" xfId="0" applyFont="1" applyBorder="1" applyAlignment="1">
      <alignment vertical="top"/>
    </xf>
    <xf numFmtId="0" fontId="7" fillId="0" borderId="0" xfId="0" applyFont="1"/>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8761D"/>
    <outlinePr summaryBelow="0" summaryRight="0"/>
  </sheetPr>
  <dimension ref="A1:BC52"/>
  <sheetViews>
    <sheetView tabSelected="1" zoomScale="85" zoomScaleNormal="85" workbookViewId="0"/>
  </sheetViews>
  <sheetFormatPr defaultColWidth="14.44140625" defaultRowHeight="15.75" customHeight="1"/>
  <cols>
    <col min="1" max="1" width="10.88671875" customWidth="1"/>
    <col min="2" max="2" width="10.109375" customWidth="1"/>
    <col min="3" max="3" width="22.44140625" customWidth="1"/>
    <col min="4" max="4" width="38.44140625" style="3" customWidth="1"/>
    <col min="5" max="5" width="37.109375" customWidth="1"/>
    <col min="6" max="6" width="14.6640625" customWidth="1"/>
    <col min="7" max="8" width="11.88671875" customWidth="1"/>
    <col min="9" max="9" width="17.6640625" customWidth="1"/>
    <col min="10" max="13" width="37.109375" customWidth="1"/>
    <col min="14" max="55" width="24.88671875" customWidth="1"/>
  </cols>
  <sheetData>
    <row r="1" spans="1:55" ht="13.2">
      <c r="A1" s="4" t="s">
        <v>0</v>
      </c>
      <c r="B1" s="4" t="s">
        <v>1</v>
      </c>
      <c r="C1" s="5" t="s">
        <v>2</v>
      </c>
      <c r="D1" s="2" t="s">
        <v>3</v>
      </c>
      <c r="E1" s="6" t="s">
        <v>4</v>
      </c>
      <c r="F1" s="7" t="s">
        <v>5</v>
      </c>
      <c r="G1" s="7" t="s">
        <v>6</v>
      </c>
      <c r="H1" s="4" t="s">
        <v>7</v>
      </c>
      <c r="I1" s="4" t="s">
        <v>8</v>
      </c>
      <c r="J1" s="6" t="s">
        <v>9</v>
      </c>
      <c r="K1" s="6" t="s">
        <v>10</v>
      </c>
      <c r="L1" s="6" t="s">
        <v>11</v>
      </c>
      <c r="M1" s="6"/>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ht="15.75" customHeight="1">
      <c r="A2" s="24">
        <v>1</v>
      </c>
      <c r="B2" s="25" t="s">
        <v>29</v>
      </c>
      <c r="C2" s="23"/>
      <c r="D2" s="26"/>
      <c r="E2" s="23"/>
      <c r="F2" s="23"/>
      <c r="G2" s="23"/>
      <c r="H2" s="27"/>
      <c r="I2" s="27"/>
      <c r="J2" s="8"/>
      <c r="K2" s="8"/>
      <c r="L2" s="8"/>
      <c r="M2" s="8"/>
    </row>
    <row r="3" spans="1:55" ht="15.75" customHeight="1">
      <c r="A3" s="9"/>
      <c r="B3" s="28"/>
      <c r="C3" s="29" t="s">
        <v>12</v>
      </c>
      <c r="D3" s="30"/>
      <c r="E3" s="31" t="s">
        <v>30</v>
      </c>
      <c r="F3" s="31" t="s">
        <v>30</v>
      </c>
      <c r="G3" s="31" t="s">
        <v>30</v>
      </c>
      <c r="H3" s="31" t="s">
        <v>30</v>
      </c>
      <c r="I3" s="31" t="s">
        <v>30</v>
      </c>
      <c r="J3" s="10"/>
      <c r="K3" s="10"/>
      <c r="L3" s="10"/>
      <c r="M3" s="10"/>
    </row>
    <row r="4" spans="1:55" ht="15.75" customHeight="1">
      <c r="A4" s="32"/>
      <c r="B4" s="33"/>
      <c r="C4" s="34" t="s">
        <v>30</v>
      </c>
      <c r="D4" s="36" t="s">
        <v>31</v>
      </c>
      <c r="F4" s="37"/>
      <c r="G4" s="38"/>
      <c r="H4" s="39" t="s">
        <v>18</v>
      </c>
      <c r="I4" s="39">
        <v>1</v>
      </c>
      <c r="J4" s="12"/>
      <c r="K4" s="12"/>
      <c r="L4" s="12"/>
      <c r="M4" s="12"/>
    </row>
    <row r="5" spans="1:55" ht="15.75" customHeight="1">
      <c r="A5" s="32"/>
      <c r="B5" s="33"/>
      <c r="C5" s="40" t="s">
        <v>30</v>
      </c>
      <c r="D5" s="36" t="s">
        <v>32</v>
      </c>
      <c r="F5" s="32"/>
      <c r="G5" s="38"/>
      <c r="H5" s="39" t="s">
        <v>18</v>
      </c>
      <c r="I5" s="39">
        <v>1</v>
      </c>
      <c r="J5" s="12"/>
      <c r="K5" s="12"/>
      <c r="L5" s="12"/>
      <c r="M5" s="12"/>
    </row>
    <row r="6" spans="1:55" ht="15.75" customHeight="1">
      <c r="A6" s="32"/>
      <c r="B6" s="33"/>
      <c r="C6" s="41" t="s">
        <v>30</v>
      </c>
      <c r="D6" s="36" t="s">
        <v>33</v>
      </c>
      <c r="F6" s="32"/>
      <c r="G6" s="38"/>
      <c r="H6" s="39" t="s">
        <v>18</v>
      </c>
      <c r="I6" s="39">
        <v>1</v>
      </c>
      <c r="J6" s="12"/>
      <c r="K6" s="12"/>
      <c r="L6" s="12"/>
      <c r="M6" s="12"/>
    </row>
    <row r="7" spans="1:55" ht="15.75" customHeight="1">
      <c r="A7" s="9"/>
      <c r="B7" s="28"/>
      <c r="C7" s="42" t="s">
        <v>13</v>
      </c>
      <c r="D7" s="43" t="s">
        <v>30</v>
      </c>
      <c r="E7" s="31" t="s">
        <v>30</v>
      </c>
      <c r="F7" s="44" t="s">
        <v>30</v>
      </c>
      <c r="G7" s="44" t="s">
        <v>30</v>
      </c>
      <c r="H7" s="44"/>
      <c r="I7" s="44"/>
      <c r="J7" s="10"/>
      <c r="K7" s="10"/>
      <c r="L7" s="10"/>
      <c r="M7" s="10"/>
    </row>
    <row r="8" spans="1:55" ht="15.75" customHeight="1">
      <c r="A8" s="45"/>
      <c r="B8" s="33"/>
      <c r="C8" s="40" t="s">
        <v>30</v>
      </c>
      <c r="D8" s="46" t="s">
        <v>19</v>
      </c>
      <c r="E8" s="47"/>
      <c r="F8" s="47"/>
      <c r="G8" s="47"/>
      <c r="H8" s="47"/>
      <c r="I8" s="47"/>
      <c r="J8" s="15"/>
      <c r="K8" s="15"/>
      <c r="L8" s="15"/>
      <c r="M8" s="15"/>
    </row>
    <row r="9" spans="1:55" ht="15.75" customHeight="1">
      <c r="A9" s="45"/>
      <c r="B9" s="33"/>
      <c r="C9" s="40"/>
      <c r="D9" s="35"/>
      <c r="E9" s="36" t="s">
        <v>34</v>
      </c>
      <c r="F9" s="32"/>
      <c r="G9" s="48"/>
      <c r="H9" s="49" t="s">
        <v>16</v>
      </c>
      <c r="I9" s="50">
        <f>(SUMIFS(I10:I52, Q10:Q52, "Work Items", R10:R52, "Implementation (Hours)", I10:I52, "&lt;&gt;TienLT") + SUMIFS(I10:I52, Q10:Q52, "Work Items", R10:R52, "Back-up Implementation", I10:I52, "&lt;&gt;TienLT")) * 11%</f>
        <v>0</v>
      </c>
      <c r="J9" s="12"/>
      <c r="K9" s="12"/>
      <c r="L9" s="12"/>
      <c r="M9" s="12"/>
    </row>
    <row r="10" spans="1:55" ht="15.75" customHeight="1">
      <c r="A10" s="45"/>
      <c r="B10" s="33"/>
      <c r="C10" s="40" t="s">
        <v>30</v>
      </c>
      <c r="D10" s="35"/>
      <c r="E10" s="35" t="s">
        <v>35</v>
      </c>
      <c r="F10" s="35"/>
      <c r="G10" s="35"/>
      <c r="H10" s="51" t="s">
        <v>28</v>
      </c>
      <c r="I10" s="51">
        <v>1</v>
      </c>
      <c r="J10" s="11"/>
      <c r="K10" s="11"/>
      <c r="L10" s="11"/>
      <c r="M10" s="11"/>
    </row>
    <row r="11" spans="1:55" ht="15.75" customHeight="1">
      <c r="A11" s="45"/>
      <c r="B11" s="52"/>
      <c r="C11" s="40" t="s">
        <v>30</v>
      </c>
      <c r="D11" s="35"/>
      <c r="E11" s="35" t="s">
        <v>36</v>
      </c>
      <c r="F11" s="35"/>
      <c r="G11" s="35"/>
      <c r="H11" s="51" t="s">
        <v>28</v>
      </c>
      <c r="I11" s="51">
        <v>1</v>
      </c>
      <c r="J11" s="11"/>
      <c r="K11" s="11"/>
      <c r="L11" s="11"/>
      <c r="M11" s="11"/>
    </row>
    <row r="12" spans="1:55" ht="15.75" customHeight="1">
      <c r="A12" s="45"/>
      <c r="B12" s="52"/>
      <c r="C12" s="40" t="s">
        <v>30</v>
      </c>
      <c r="D12" s="53" t="s">
        <v>15</v>
      </c>
      <c r="E12" s="54"/>
      <c r="F12" s="54"/>
      <c r="G12" s="54"/>
      <c r="H12" s="54"/>
      <c r="I12" s="54"/>
      <c r="J12" s="16"/>
      <c r="K12" s="16"/>
      <c r="L12" s="16"/>
      <c r="M12" s="16"/>
    </row>
    <row r="13" spans="1:55" ht="15.75" customHeight="1">
      <c r="A13" s="45"/>
      <c r="B13" s="33"/>
      <c r="C13" s="40" t="s">
        <v>30</v>
      </c>
      <c r="D13" s="55"/>
      <c r="E13" s="56" t="s">
        <v>37</v>
      </c>
      <c r="F13" s="35"/>
      <c r="G13" s="35"/>
      <c r="H13" s="51" t="s">
        <v>28</v>
      </c>
      <c r="I13" s="51">
        <v>1</v>
      </c>
      <c r="J13" s="17"/>
      <c r="K13" s="17"/>
      <c r="L13" s="17"/>
      <c r="M13" s="17"/>
    </row>
    <row r="14" spans="1:55" ht="15.75" customHeight="1">
      <c r="A14" s="45"/>
      <c r="B14" s="52"/>
      <c r="C14" s="40" t="s">
        <v>30</v>
      </c>
      <c r="D14" s="57" t="s">
        <v>30</v>
      </c>
      <c r="E14" s="57" t="s">
        <v>38</v>
      </c>
      <c r="F14" s="35"/>
      <c r="G14" s="35"/>
      <c r="H14" s="51" t="s">
        <v>28</v>
      </c>
      <c r="I14" s="51">
        <v>4</v>
      </c>
      <c r="J14" s="17"/>
      <c r="K14" s="17"/>
      <c r="L14" s="17"/>
      <c r="M14" s="17"/>
    </row>
    <row r="15" spans="1:55" ht="15.75" customHeight="1">
      <c r="A15" s="45"/>
      <c r="B15" s="52"/>
      <c r="C15" s="40"/>
      <c r="D15" s="35"/>
      <c r="E15" s="57" t="s">
        <v>39</v>
      </c>
      <c r="F15" s="35"/>
      <c r="G15" s="35"/>
      <c r="H15" s="51" t="s">
        <v>28</v>
      </c>
      <c r="I15" s="51">
        <v>3</v>
      </c>
      <c r="J15" s="14"/>
      <c r="K15" s="14"/>
      <c r="L15" s="14"/>
      <c r="M15" s="14"/>
    </row>
    <row r="16" spans="1:55" ht="15.75" customHeight="1">
      <c r="A16" s="45"/>
      <c r="B16" s="52"/>
      <c r="C16" s="40" t="s">
        <v>30</v>
      </c>
      <c r="D16" s="35" t="s">
        <v>30</v>
      </c>
      <c r="E16" s="35" t="s">
        <v>40</v>
      </c>
      <c r="F16" s="35"/>
      <c r="G16" s="35"/>
      <c r="H16" s="51" t="s">
        <v>28</v>
      </c>
      <c r="I16" s="51">
        <v>3</v>
      </c>
      <c r="J16" s="18"/>
      <c r="K16" s="18"/>
      <c r="L16" s="18"/>
      <c r="M16" s="18"/>
    </row>
    <row r="17" spans="1:13" ht="15.75" customHeight="1">
      <c r="A17" s="45"/>
      <c r="B17" s="52"/>
      <c r="C17" s="40" t="s">
        <v>30</v>
      </c>
      <c r="D17" s="35" t="s">
        <v>30</v>
      </c>
      <c r="E17" s="35" t="s">
        <v>41</v>
      </c>
      <c r="F17" s="35"/>
      <c r="G17" s="35"/>
      <c r="H17" s="51" t="s">
        <v>28</v>
      </c>
      <c r="I17" s="51">
        <v>2</v>
      </c>
      <c r="J17" s="18"/>
      <c r="K17" s="18"/>
      <c r="L17" s="18"/>
      <c r="M17" s="18"/>
    </row>
    <row r="18" spans="1:13" ht="15.75" customHeight="1">
      <c r="A18" s="45"/>
      <c r="B18" s="52"/>
      <c r="C18" s="40" t="s">
        <v>30</v>
      </c>
      <c r="D18" s="35" t="s">
        <v>30</v>
      </c>
      <c r="E18" s="35" t="s">
        <v>42</v>
      </c>
      <c r="F18" s="40"/>
      <c r="G18" s="35"/>
      <c r="H18" s="51" t="s">
        <v>28</v>
      </c>
      <c r="I18" s="51">
        <v>3</v>
      </c>
      <c r="J18" s="18"/>
      <c r="K18" s="18"/>
      <c r="L18" s="18"/>
      <c r="M18" s="18"/>
    </row>
    <row r="19" spans="1:13" ht="15.75" customHeight="1">
      <c r="A19" s="45"/>
      <c r="B19" s="52"/>
      <c r="C19" s="40"/>
      <c r="D19" s="35"/>
      <c r="E19" s="35" t="s">
        <v>43</v>
      </c>
      <c r="F19" s="35"/>
      <c r="G19" s="35"/>
      <c r="H19" s="51" t="s">
        <v>28</v>
      </c>
      <c r="I19" s="51">
        <v>1</v>
      </c>
      <c r="J19" s="18"/>
      <c r="K19" s="18"/>
      <c r="L19" s="18"/>
      <c r="M19" s="18"/>
    </row>
    <row r="20" spans="1:13" ht="15.75" customHeight="1">
      <c r="A20" s="45"/>
      <c r="B20" s="52"/>
      <c r="C20" s="40"/>
      <c r="D20" s="35"/>
      <c r="E20" s="35" t="s">
        <v>44</v>
      </c>
      <c r="F20" s="35"/>
      <c r="G20" s="35"/>
      <c r="H20" s="51" t="s">
        <v>28</v>
      </c>
      <c r="I20" s="51">
        <v>1</v>
      </c>
      <c r="J20" s="18"/>
      <c r="K20" s="18"/>
      <c r="L20" s="18"/>
      <c r="M20" s="18"/>
    </row>
    <row r="21" spans="1:13" ht="15.75" customHeight="1">
      <c r="A21" s="45"/>
      <c r="B21" s="52"/>
      <c r="C21" s="40"/>
      <c r="D21" s="35"/>
      <c r="E21" s="35" t="s">
        <v>45</v>
      </c>
      <c r="F21" s="35"/>
      <c r="G21" s="35"/>
      <c r="H21" s="51" t="s">
        <v>28</v>
      </c>
      <c r="I21" s="51">
        <v>2</v>
      </c>
      <c r="J21" s="14"/>
      <c r="K21" s="14"/>
      <c r="L21" s="14"/>
      <c r="M21" s="14"/>
    </row>
    <row r="22" spans="1:13" ht="15.75" customHeight="1">
      <c r="A22" s="45"/>
      <c r="B22" s="33"/>
      <c r="C22" s="40" t="s">
        <v>30</v>
      </c>
      <c r="D22" s="46" t="s">
        <v>17</v>
      </c>
      <c r="E22" s="46"/>
      <c r="F22" s="46"/>
      <c r="G22" s="47"/>
      <c r="H22" s="47"/>
      <c r="I22" s="47"/>
      <c r="J22" s="17"/>
      <c r="K22" s="17"/>
      <c r="L22" s="17"/>
      <c r="M22" s="17"/>
    </row>
    <row r="23" spans="1:13" ht="15.75" customHeight="1">
      <c r="A23" s="45"/>
      <c r="B23" s="52"/>
      <c r="C23" s="40" t="s">
        <v>30</v>
      </c>
      <c r="D23" s="35" t="s">
        <v>30</v>
      </c>
      <c r="E23" s="18" t="s">
        <v>46</v>
      </c>
      <c r="F23" s="35"/>
      <c r="G23" s="35"/>
      <c r="H23" s="51" t="s">
        <v>20</v>
      </c>
      <c r="I23" s="51">
        <v>1</v>
      </c>
      <c r="J23" s="14"/>
      <c r="K23" s="14"/>
      <c r="L23" s="14"/>
      <c r="M23" s="14"/>
    </row>
    <row r="24" spans="1:13" ht="15.75" customHeight="1">
      <c r="A24" s="45"/>
      <c r="B24" s="52"/>
      <c r="C24" s="40" t="s">
        <v>30</v>
      </c>
      <c r="D24" s="35" t="s">
        <v>30</v>
      </c>
      <c r="E24" s="18" t="s">
        <v>47</v>
      </c>
      <c r="F24" s="35"/>
      <c r="G24" s="35"/>
      <c r="H24" s="51" t="s">
        <v>20</v>
      </c>
      <c r="I24" s="51">
        <v>1</v>
      </c>
      <c r="J24" s="17"/>
      <c r="K24" s="17"/>
      <c r="L24" s="17"/>
      <c r="M24" s="17"/>
    </row>
    <row r="25" spans="1:13" ht="15.75" customHeight="1">
      <c r="A25" s="45"/>
      <c r="B25" s="52"/>
      <c r="C25" s="58" t="s">
        <v>30</v>
      </c>
      <c r="D25" s="40" t="s">
        <v>30</v>
      </c>
      <c r="E25" s="18" t="s">
        <v>48</v>
      </c>
      <c r="F25" s="35"/>
      <c r="G25" s="35"/>
      <c r="H25" s="51" t="s">
        <v>20</v>
      </c>
      <c r="I25" s="51">
        <v>2</v>
      </c>
      <c r="J25" s="13"/>
      <c r="K25" s="13"/>
      <c r="L25" s="13"/>
      <c r="M25" s="13"/>
    </row>
    <row r="26" spans="1:13" ht="15.75" customHeight="1">
      <c r="A26" s="45"/>
      <c r="B26" s="52"/>
      <c r="C26" s="58" t="s">
        <v>30</v>
      </c>
      <c r="D26" s="40" t="s">
        <v>30</v>
      </c>
      <c r="E26" s="18" t="s">
        <v>49</v>
      </c>
      <c r="F26" s="35"/>
      <c r="G26" s="35"/>
      <c r="H26" s="51" t="s">
        <v>20</v>
      </c>
      <c r="I26" s="51">
        <v>2</v>
      </c>
      <c r="J26" s="14"/>
      <c r="K26" s="14"/>
      <c r="L26" s="14"/>
      <c r="M26" s="14"/>
    </row>
    <row r="27" spans="1:13" ht="15.75" customHeight="1">
      <c r="A27" s="19"/>
      <c r="B27" s="19"/>
      <c r="C27" s="59" t="s">
        <v>30</v>
      </c>
      <c r="D27" s="46" t="s">
        <v>21</v>
      </c>
      <c r="E27" s="46"/>
      <c r="F27" s="46"/>
      <c r="G27" s="47"/>
      <c r="H27" s="46"/>
      <c r="I27" s="46"/>
      <c r="J27" s="14"/>
      <c r="K27" s="14"/>
      <c r="L27" s="14"/>
      <c r="M27" s="14"/>
    </row>
    <row r="28" spans="1:13" ht="15.75" customHeight="1">
      <c r="A28" s="45"/>
      <c r="B28" s="52"/>
      <c r="C28" s="58" t="s">
        <v>30</v>
      </c>
      <c r="D28" s="40" t="s">
        <v>30</v>
      </c>
      <c r="E28" s="40" t="s">
        <v>50</v>
      </c>
      <c r="F28" s="35"/>
      <c r="G28" s="35"/>
      <c r="H28" s="51" t="s">
        <v>28</v>
      </c>
      <c r="I28" s="51">
        <v>2</v>
      </c>
      <c r="J28" s="11"/>
      <c r="K28" s="11"/>
      <c r="L28" s="11"/>
      <c r="M28" s="11"/>
    </row>
    <row r="29" spans="1:13" ht="15.75" customHeight="1">
      <c r="A29" s="45"/>
      <c r="B29" s="52"/>
      <c r="C29" s="58" t="s">
        <v>30</v>
      </c>
      <c r="D29" s="40" t="s">
        <v>30</v>
      </c>
      <c r="E29" s="40" t="s">
        <v>51</v>
      </c>
      <c r="F29" s="35"/>
      <c r="G29" s="35"/>
      <c r="H29" s="51" t="s">
        <v>28</v>
      </c>
      <c r="I29" s="51">
        <v>3</v>
      </c>
      <c r="J29" s="11"/>
      <c r="K29" s="11"/>
      <c r="L29" s="11"/>
      <c r="M29" s="11"/>
    </row>
    <row r="30" spans="1:13" ht="15.75" customHeight="1">
      <c r="A30" s="19"/>
      <c r="B30" s="19"/>
      <c r="C30" s="59" t="s">
        <v>30</v>
      </c>
      <c r="D30" s="46" t="s">
        <v>22</v>
      </c>
      <c r="E30" s="46"/>
      <c r="F30" s="46"/>
      <c r="G30" s="47"/>
      <c r="H30" s="46"/>
      <c r="I30" s="46"/>
      <c r="J30" s="14"/>
      <c r="K30" s="14"/>
      <c r="L30" s="14"/>
      <c r="M30" s="14"/>
    </row>
    <row r="31" spans="1:13" ht="15.75" customHeight="1">
      <c r="A31" s="45"/>
      <c r="B31" s="52"/>
      <c r="C31" s="58" t="s">
        <v>30</v>
      </c>
      <c r="D31" s="40" t="s">
        <v>30</v>
      </c>
      <c r="E31" s="18" t="s">
        <v>52</v>
      </c>
      <c r="F31" s="35"/>
      <c r="G31" s="35"/>
      <c r="H31" s="51" t="s">
        <v>20</v>
      </c>
      <c r="I31" s="51">
        <v>1</v>
      </c>
      <c r="J31" s="11"/>
      <c r="K31" s="11"/>
      <c r="L31" s="11"/>
      <c r="M31" s="11"/>
    </row>
    <row r="32" spans="1:13" ht="15.75" customHeight="1">
      <c r="A32" s="9"/>
      <c r="B32" s="28"/>
      <c r="C32" s="60" t="s">
        <v>14</v>
      </c>
      <c r="D32" s="43" t="s">
        <v>30</v>
      </c>
      <c r="E32" s="44"/>
      <c r="F32" s="44"/>
      <c r="G32" s="44"/>
      <c r="H32" s="44"/>
      <c r="I32" s="44"/>
      <c r="J32" s="11"/>
      <c r="K32" s="11"/>
      <c r="L32" s="11"/>
      <c r="M32" s="11"/>
    </row>
    <row r="33" spans="1:13" ht="15.75" customHeight="1">
      <c r="A33" s="45"/>
      <c r="B33" s="45"/>
      <c r="C33" s="59" t="s">
        <v>30</v>
      </c>
      <c r="D33" s="46" t="s">
        <v>53</v>
      </c>
      <c r="E33" s="46"/>
      <c r="F33" s="46"/>
      <c r="G33" s="47"/>
      <c r="H33" s="46"/>
      <c r="I33" s="46"/>
      <c r="J33" s="14"/>
      <c r="K33" s="14"/>
      <c r="L33" s="14"/>
      <c r="M33" s="14"/>
    </row>
    <row r="34" spans="1:13" ht="15.75" customHeight="1">
      <c r="A34" s="19"/>
      <c r="B34" s="19"/>
      <c r="C34" s="59" t="s">
        <v>30</v>
      </c>
      <c r="D34" s="61" t="s">
        <v>30</v>
      </c>
      <c r="E34" s="18" t="s">
        <v>54</v>
      </c>
      <c r="F34" s="61" t="s">
        <v>30</v>
      </c>
      <c r="G34" s="18" t="s">
        <v>30</v>
      </c>
      <c r="H34" s="61" t="s">
        <v>27</v>
      </c>
      <c r="I34" s="35">
        <v>1</v>
      </c>
      <c r="J34" s="11"/>
      <c r="K34" s="11"/>
      <c r="L34" s="11"/>
      <c r="M34" s="11"/>
    </row>
    <row r="35" spans="1:13" ht="15.75" customHeight="1">
      <c r="A35" s="45"/>
      <c r="B35" s="45"/>
      <c r="C35" s="59" t="s">
        <v>30</v>
      </c>
      <c r="D35" s="46" t="s">
        <v>23</v>
      </c>
      <c r="E35" s="46"/>
      <c r="F35" s="46"/>
      <c r="G35" s="47"/>
      <c r="H35" s="46"/>
      <c r="I35" s="46"/>
      <c r="J35" s="14"/>
      <c r="K35" s="14"/>
      <c r="L35" s="14"/>
      <c r="M35" s="14"/>
    </row>
    <row r="36" spans="1:13" ht="15.75" customHeight="1">
      <c r="A36" s="19"/>
      <c r="B36" s="19"/>
      <c r="C36" s="59" t="s">
        <v>30</v>
      </c>
      <c r="D36" s="61" t="s">
        <v>30</v>
      </c>
      <c r="E36" s="62" t="s">
        <v>55</v>
      </c>
      <c r="F36" s="63" t="s">
        <v>30</v>
      </c>
      <c r="G36" s="62" t="s">
        <v>30</v>
      </c>
      <c r="H36" s="63" t="s">
        <v>27</v>
      </c>
      <c r="I36" s="22">
        <v>2</v>
      </c>
      <c r="J36" s="18"/>
      <c r="K36" s="18"/>
      <c r="L36" s="18"/>
      <c r="M36" s="18"/>
    </row>
    <row r="37" spans="1:13" ht="15.75" customHeight="1">
      <c r="A37" s="19"/>
      <c r="B37" s="19"/>
      <c r="C37" s="59"/>
      <c r="D37" s="61"/>
      <c r="E37" s="22" t="s">
        <v>56</v>
      </c>
      <c r="F37" s="63" t="s">
        <v>30</v>
      </c>
      <c r="G37" s="62" t="s">
        <v>30</v>
      </c>
      <c r="H37" s="63" t="s">
        <v>27</v>
      </c>
      <c r="I37" s="22">
        <v>2.5</v>
      </c>
      <c r="J37" s="17"/>
      <c r="K37" s="17"/>
      <c r="L37" s="17"/>
      <c r="M37" s="17"/>
    </row>
    <row r="38" spans="1:13" ht="15.75" customHeight="1">
      <c r="A38" s="19"/>
      <c r="B38" s="19"/>
      <c r="C38" s="59"/>
      <c r="D38" s="61"/>
      <c r="E38" s="62" t="s">
        <v>57</v>
      </c>
      <c r="F38" s="63" t="s">
        <v>30</v>
      </c>
      <c r="G38" s="62" t="s">
        <v>30</v>
      </c>
      <c r="H38" s="63" t="s">
        <v>27</v>
      </c>
      <c r="I38" s="22">
        <v>2</v>
      </c>
      <c r="J38" s="8"/>
      <c r="K38" s="8"/>
      <c r="L38" s="8"/>
      <c r="M38" s="8"/>
    </row>
    <row r="39" spans="1:13" ht="15.75" customHeight="1">
      <c r="A39" s="19"/>
      <c r="B39" s="19"/>
      <c r="C39" s="59"/>
      <c r="D39" s="61"/>
      <c r="E39" s="22" t="s">
        <v>58</v>
      </c>
      <c r="F39" s="63" t="s">
        <v>30</v>
      </c>
      <c r="G39" s="62" t="s">
        <v>30</v>
      </c>
      <c r="H39" s="63" t="s">
        <v>27</v>
      </c>
      <c r="I39" s="22">
        <v>2.5</v>
      </c>
      <c r="J39" s="10"/>
      <c r="K39" s="10"/>
      <c r="L39" s="10"/>
      <c r="M39" s="10"/>
    </row>
    <row r="40" spans="1:13" ht="15.75" customHeight="1">
      <c r="A40" s="19"/>
      <c r="B40" s="19"/>
      <c r="C40" s="59" t="s">
        <v>30</v>
      </c>
      <c r="D40" s="46" t="s">
        <v>24</v>
      </c>
      <c r="E40" s="46"/>
      <c r="F40" s="46"/>
      <c r="G40" s="47"/>
      <c r="H40" s="46"/>
      <c r="I40" s="46"/>
      <c r="J40" s="12"/>
      <c r="K40" s="12"/>
      <c r="L40" s="12"/>
      <c r="M40" s="12"/>
    </row>
    <row r="41" spans="1:13" ht="15.75" customHeight="1">
      <c r="A41" s="19"/>
      <c r="B41" s="19"/>
      <c r="C41" s="59"/>
      <c r="D41" s="61"/>
      <c r="E41" s="62" t="s">
        <v>59</v>
      </c>
      <c r="F41" s="63" t="s">
        <v>30</v>
      </c>
      <c r="G41" s="62" t="s">
        <v>30</v>
      </c>
      <c r="H41" s="63" t="s">
        <v>27</v>
      </c>
      <c r="I41" s="22">
        <v>1.75</v>
      </c>
      <c r="J41" s="12"/>
      <c r="K41" s="12"/>
      <c r="L41" s="12"/>
      <c r="M41" s="12"/>
    </row>
    <row r="42" spans="1:13" ht="15.75" customHeight="1">
      <c r="A42" s="19"/>
      <c r="B42" s="19"/>
      <c r="C42" s="59"/>
      <c r="D42" s="61"/>
      <c r="E42" s="22" t="s">
        <v>56</v>
      </c>
      <c r="F42" s="63" t="s">
        <v>30</v>
      </c>
      <c r="G42" s="62" t="s">
        <v>30</v>
      </c>
      <c r="H42" s="63" t="s">
        <v>27</v>
      </c>
      <c r="I42" s="22">
        <v>2.5</v>
      </c>
      <c r="J42" s="12"/>
      <c r="K42" s="12"/>
      <c r="L42" s="12"/>
      <c r="M42" s="12"/>
    </row>
    <row r="43" spans="1:13" ht="15.75" customHeight="1">
      <c r="A43" s="19"/>
      <c r="B43" s="19"/>
      <c r="C43" s="59"/>
      <c r="D43" s="61"/>
      <c r="E43" s="62" t="s">
        <v>57</v>
      </c>
      <c r="F43" s="63" t="s">
        <v>30</v>
      </c>
      <c r="G43" s="62" t="s">
        <v>30</v>
      </c>
      <c r="H43" s="63" t="s">
        <v>27</v>
      </c>
      <c r="I43" s="22">
        <v>1.75</v>
      </c>
      <c r="J43" s="10"/>
      <c r="K43" s="10"/>
      <c r="L43" s="10"/>
      <c r="M43" s="10"/>
    </row>
    <row r="44" spans="1:13" ht="15.75" customHeight="1">
      <c r="A44" s="19"/>
      <c r="B44" s="19"/>
      <c r="C44" s="59"/>
      <c r="D44" s="61"/>
      <c r="E44" s="22" t="s">
        <v>58</v>
      </c>
      <c r="F44" s="63" t="s">
        <v>30</v>
      </c>
      <c r="G44" s="62" t="s">
        <v>30</v>
      </c>
      <c r="H44" s="63" t="s">
        <v>27</v>
      </c>
      <c r="I44" s="22">
        <v>2.5</v>
      </c>
      <c r="J44" s="15"/>
      <c r="K44" s="15"/>
      <c r="L44" s="15"/>
      <c r="M44" s="15"/>
    </row>
    <row r="45" spans="1:13" ht="15.75" customHeight="1">
      <c r="A45" s="19"/>
      <c r="B45" s="19"/>
      <c r="C45" s="59"/>
      <c r="D45" s="61"/>
      <c r="E45" s="22" t="s">
        <v>60</v>
      </c>
      <c r="F45" s="22"/>
      <c r="G45" s="22"/>
      <c r="H45" s="22" t="s">
        <v>27</v>
      </c>
      <c r="I45" s="22">
        <v>2</v>
      </c>
      <c r="J45" s="12"/>
      <c r="K45" s="12"/>
      <c r="L45" s="12"/>
      <c r="M45" s="12"/>
    </row>
    <row r="46" spans="1:13" ht="15.75" customHeight="1">
      <c r="A46" s="20" t="s">
        <v>30</v>
      </c>
      <c r="B46" s="21"/>
      <c r="C46" s="61" t="s">
        <v>30</v>
      </c>
      <c r="D46" s="46" t="s">
        <v>25</v>
      </c>
      <c r="E46" s="46"/>
      <c r="F46" s="46"/>
      <c r="G46" s="47"/>
      <c r="H46" s="46"/>
      <c r="I46" s="46"/>
      <c r="J46" s="16"/>
      <c r="K46" s="16"/>
      <c r="L46" s="16"/>
      <c r="M46" s="16"/>
    </row>
    <row r="47" spans="1:13" ht="15.75" customHeight="1">
      <c r="A47" s="19"/>
      <c r="B47" s="19"/>
      <c r="C47" s="59" t="s">
        <v>30</v>
      </c>
      <c r="D47" s="61" t="s">
        <v>30</v>
      </c>
      <c r="E47" s="35" t="s">
        <v>61</v>
      </c>
      <c r="F47" s="61" t="s">
        <v>30</v>
      </c>
      <c r="G47" s="18" t="s">
        <v>30</v>
      </c>
      <c r="H47" s="61" t="s">
        <v>27</v>
      </c>
      <c r="I47" s="35">
        <v>1</v>
      </c>
      <c r="J47" s="12"/>
      <c r="K47" s="12"/>
      <c r="L47" s="12"/>
      <c r="M47" s="12"/>
    </row>
    <row r="48" spans="1:13" ht="15.75" customHeight="1">
      <c r="A48" s="20" t="s">
        <v>30</v>
      </c>
      <c r="B48" s="21"/>
      <c r="C48" s="61" t="s">
        <v>30</v>
      </c>
      <c r="D48" s="46" t="s">
        <v>62</v>
      </c>
      <c r="E48" s="46"/>
      <c r="F48" s="46"/>
      <c r="G48" s="47"/>
      <c r="H48" s="46"/>
      <c r="I48" s="46"/>
      <c r="J48" s="12"/>
      <c r="K48" s="12"/>
      <c r="L48" s="12"/>
      <c r="M48" s="12"/>
    </row>
    <row r="49" spans="1:13" ht="15.75" customHeight="1">
      <c r="A49" s="19"/>
      <c r="B49" s="19"/>
      <c r="C49" s="59" t="s">
        <v>30</v>
      </c>
      <c r="D49" s="61" t="s">
        <v>30</v>
      </c>
      <c r="E49" s="35" t="s">
        <v>63</v>
      </c>
      <c r="F49" s="61" t="s">
        <v>30</v>
      </c>
      <c r="G49" s="18" t="s">
        <v>30</v>
      </c>
      <c r="H49" s="61" t="s">
        <v>27</v>
      </c>
      <c r="I49" s="35">
        <v>1</v>
      </c>
      <c r="J49" s="12"/>
      <c r="K49" s="12"/>
      <c r="L49" s="12"/>
      <c r="M49" s="12"/>
    </row>
    <row r="50" spans="1:13" ht="15.75" customHeight="1">
      <c r="A50" s="19"/>
      <c r="B50" s="19"/>
      <c r="C50" s="59" t="s">
        <v>30</v>
      </c>
      <c r="D50" s="46" t="s">
        <v>26</v>
      </c>
      <c r="E50" s="46"/>
      <c r="F50" s="46"/>
      <c r="G50" s="47"/>
      <c r="H50" s="46"/>
      <c r="I50" s="46"/>
      <c r="J50" s="12"/>
      <c r="K50" s="12"/>
      <c r="L50" s="12"/>
      <c r="M50" s="12"/>
    </row>
    <row r="51" spans="1:13" ht="15.75" customHeight="1">
      <c r="A51" s="19"/>
      <c r="B51" s="19"/>
      <c r="C51" s="59" t="s">
        <v>30</v>
      </c>
      <c r="D51" s="40" t="s">
        <v>30</v>
      </c>
      <c r="E51" s="18" t="s">
        <v>64</v>
      </c>
      <c r="F51" s="61" t="s">
        <v>30</v>
      </c>
      <c r="G51" s="18" t="s">
        <v>30</v>
      </c>
      <c r="H51" s="61" t="s">
        <v>27</v>
      </c>
      <c r="I51" s="35">
        <v>2.5</v>
      </c>
      <c r="J51" s="12"/>
      <c r="K51" s="12"/>
      <c r="L51" s="12"/>
      <c r="M51" s="12"/>
    </row>
    <row r="52" spans="1:13" ht="15.75" customHeight="1">
      <c r="A52" s="19"/>
      <c r="B52" s="19"/>
      <c r="C52" s="59" t="s">
        <v>30</v>
      </c>
      <c r="D52" s="40" t="s">
        <v>30</v>
      </c>
      <c r="E52" s="64" t="s">
        <v>65</v>
      </c>
      <c r="F52" s="61" t="s">
        <v>30</v>
      </c>
      <c r="G52" s="18" t="s">
        <v>30</v>
      </c>
      <c r="H52" s="61" t="s">
        <v>66</v>
      </c>
      <c r="I52" s="35">
        <v>3</v>
      </c>
      <c r="J52" s="12"/>
      <c r="K52" s="12"/>
      <c r="L52" s="12"/>
      <c r="M52" s="12"/>
    </row>
  </sheetData>
  <autoFilter ref="A1:I52"/>
  <conditionalFormatting sqref="H2">
    <cfRule type="containsText" dxfId="3" priority="28" operator="containsText" text=" ">
      <formula>NOT(ISERROR(SEARCH(" ",H2)))</formula>
    </cfRule>
  </conditionalFormatting>
  <conditionalFormatting sqref="G4:G6">
    <cfRule type="containsText" dxfId="2" priority="10" operator="containsText" text=" ">
      <formula>NOT(ISERROR(SEARCH(" ",G4)))</formula>
    </cfRule>
  </conditionalFormatting>
  <conditionalFormatting sqref="H9">
    <cfRule type="containsText" dxfId="1" priority="6" operator="containsText" text=" ">
      <formula>NOT(ISERROR(SEARCH(" ",H9)))</formula>
    </cfRule>
  </conditionalFormatting>
  <conditionalFormatting sqref="H9">
    <cfRule type="containsText" dxfId="0" priority="5" operator="containsText" text=" ">
      <formula>NOT(ISERROR(SEARCH(" ",H9)))</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Internal_Detailed_Estimate_Plan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Hieu Nguyen-Trong</dc:creator>
  <cp:lastModifiedBy>Trang Pham-Tran-Minh</cp:lastModifiedBy>
  <dcterms:created xsi:type="dcterms:W3CDTF">2021-12-20T02:45:28Z</dcterms:created>
  <dcterms:modified xsi:type="dcterms:W3CDTF">2026-08-26T10:10:16Z</dcterms:modified>
</cp:coreProperties>
</file>